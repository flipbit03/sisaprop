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<sst xmlns="http://schemas.openxmlformats.org/spreadsheetml/2006/main" count="83" uniqueCount="52">
  <si>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</si>
  <si>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</si>
  <si>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</si>
  <si>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</si>
  <si>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</si>
  <si>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</si>
  <si>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</si>
  <si>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</si>
  <si>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</si>
  <si>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</si>
  <si>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</si>
  <si>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</si>
  <si>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</si>
  <si>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</si>
  <si>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</si>
  <si>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</si>
  <si>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</si>
  <si>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</si>
  <si>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</si>
  <si>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</si>
  <si>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</si>
  <si>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</si>
  <si>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</si>
  <si>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</si>
  <si>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</si>
  <si>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</si>
  <si>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</si>
  <si>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</si>
  <si>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</si>
  <si>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</si>
  <si>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</si>
  <si>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</si>
  <si>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</si>
  <si>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</si>
  <si>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</si>
  <si>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GEANDERSON DA SILVA REIS</t>
  </si>
  <si>
    <t>MATHEUS TAVARES DIAS DA COSTA</t>
  </si>
  <si>
    <t>SOLANGE COELHO RODRIGUES</t>
  </si>
  <si>
    <t>VITOR HUGO DOS SANTOS MAIA</t>
  </si>
  <si>
    <t>HELLEN DE AGUIAR SOUZA MARQUES</t>
  </si>
  <si>
    <t> </t>
  </si>
  <si>
    <t>2986</t>
  </si>
  <si>
    <t>3377</t>
  </si>
  <si>
    <t>3566</t>
  </si>
  <si>
    <t>3587</t>
  </si>
  <si>
    <t>4210</t>
  </si>
  <si>
    <t> </t>
  </si>
  <si>
    <t>SETOR IQ
LABORATÓRIO DE CALIBRAÇÃO</t>
  </si>
  <si>
    <t>IQ_LABCAL</t>
  </si>
  <si>
    <t>HELLEN DE AGUIAR SOUZA MARQUES</t>
  </si>
  <si>
    <t>Matr.: 4210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</si>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</sst>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GEANDERSON DA SILVA REIS</v>
      </c>
      <c r="N12" s="161"/>
      <c r="O12" s="187" t="str">
        <f>H12</f>
        <v>MATHEUS TAVARES DIAS DA COSTA</v>
      </c>
      <c r="P12" s="161" t="str">
        <f>I12</f>
        <v>SOLANGE COELHO RODRIGUES</v>
      </c>
      <c r="Q12" s="161" t="str">
        <f>J12</f>
        <v>VITOR HUGO DOS SANTOS MAIA</v>
      </c>
      <c r="R12" s="161" t="str">
        <f>K12</f>
        <v>HELLEN DE AGUIAR SOUZA MARQUES</v>
      </c>
      <c r="S12" s="161" t="str">
        <f>L12</f>
        <v> </v>
      </c>
      <c r="T12" s="189"/>
      <c r="U12" s="174" t="str">
        <f>G12</f>
        <v>GEANDERSON DA SILVA REIS</v>
      </c>
      <c r="V12" s="161"/>
      <c r="W12" s="161"/>
      <c r="X12" s="161" t="str">
        <f>H12</f>
        <v>MATHEUS TAVARES DIAS DA COSTA</v>
      </c>
      <c r="Y12" s="161" t="str">
        <f>I12</f>
        <v>SOLANGE COELHO RODRIGUES</v>
      </c>
      <c r="Z12" s="161" t="str">
        <f>J12</f>
        <v>VITOR HUGO DOS SANTOS MAIA</v>
      </c>
      <c r="AA12" s="161" t="str">
        <f>K12</f>
        <v>HELLEN DE AGUIAR SOUZA MARQUES</v>
      </c>
      <c r="AB12" s="161" t="str">
        <f>L12</f>
        <v> </v>
      </c>
      <c r="AC12" s="181" t="str">
        <f t="shared" ref="AC12:AH12" si="0">G12</f>
        <v>GEANDERSON DA SILVA REIS</v>
      </c>
      <c r="AD12" s="183" t="str">
        <f t="shared" si="0"/>
        <v>MATHEUS TAVARES DIAS DA COSTA</v>
      </c>
      <c r="AE12" s="161" t="str">
        <f t="shared" si="0"/>
        <v>SOLANGE COELHO RODRIGUES</v>
      </c>
      <c r="AF12" s="161" t="str">
        <f t="shared" si="0"/>
        <v>VITOR HUGO DOS SANTOS MAIA</v>
      </c>
      <c r="AG12" s="161" t="str">
        <f t="shared" si="0"/>
        <v>HELLEN DE AGUIAR SOUZA MARQUES</v>
      </c>
      <c r="AH12" s="161" t="str">
        <f t="shared" si="0"/>
        <v> </v>
      </c>
      <c r="AI12" s="185" t="str">
        <f t="shared" ref="AI12:AN12" si="1">G12</f>
        <v>GEANDERSON DA SILVA REIS</v>
      </c>
      <c r="AJ12" s="183" t="str">
        <f t="shared" si="1"/>
        <v>MATHEUS TAVARES DIAS DA COSTA</v>
      </c>
      <c r="AK12" s="161" t="str">
        <f t="shared" si="1"/>
        <v>SOLANGE COELHO RODRIGUES</v>
      </c>
      <c r="AL12" s="161" t="str">
        <f t="shared" si="1"/>
        <v>VITOR HUGO DOS SANTOS MAIA</v>
      </c>
      <c r="AM12" s="161" t="str">
        <f t="shared" si="1"/>
        <v>HELLEN DE AGUIAR SOUZA MARQUES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2986</v>
      </c>
      <c r="N19" s="172"/>
      <c r="O19" s="172" t="str">
        <f>H19</f>
        <v>3377</v>
      </c>
      <c r="P19" s="172" t="str">
        <f>I19</f>
        <v>3566</v>
      </c>
      <c r="Q19" s="172" t="str">
        <f>J19</f>
        <v>3587</v>
      </c>
      <c r="R19" s="172" t="str">
        <f>K19</f>
        <v>4210</v>
      </c>
      <c r="S19" s="172" t="str">
        <f>L19</f>
        <v> </v>
      </c>
      <c r="T19" s="209"/>
      <c r="U19" s="191" t="str">
        <f>G19</f>
        <v>2986</v>
      </c>
      <c r="V19" s="172"/>
      <c r="W19" s="172"/>
      <c r="X19" s="172" t="str">
        <f>H19</f>
        <v>3377</v>
      </c>
      <c r="Y19" s="172" t="str">
        <f>I19</f>
        <v>3566</v>
      </c>
      <c r="Z19" s="172" t="str">
        <f>J19</f>
        <v>3587</v>
      </c>
      <c r="AA19" s="172" t="str">
        <f>K19</f>
        <v>4210</v>
      </c>
      <c r="AB19" s="172" t="str">
        <f>L19</f>
        <v> </v>
      </c>
      <c r="AC19" s="207" t="str">
        <f t="shared" ref="AC19:AH19" si="2">G19</f>
        <v>2986</v>
      </c>
      <c r="AD19" s="172" t="str">
        <f t="shared" si="2"/>
        <v>3377</v>
      </c>
      <c r="AE19" s="172" t="str">
        <f t="shared" si="2"/>
        <v>3566</v>
      </c>
      <c r="AF19" s="172" t="str">
        <f t="shared" si="2"/>
        <v>3587</v>
      </c>
      <c r="AG19" s="172" t="str">
        <f t="shared" si="2"/>
        <v>4210</v>
      </c>
      <c r="AH19" s="172" t="str">
        <f t="shared" si="2"/>
        <v> </v>
      </c>
      <c r="AI19" s="205" t="str">
        <f t="shared" ref="AI19:AN19" si="3">G19</f>
        <v>2986</v>
      </c>
      <c r="AJ19" s="172" t="str">
        <f t="shared" si="3"/>
        <v>3377</v>
      </c>
      <c r="AK19" s="172" t="str">
        <f t="shared" si="3"/>
        <v>3566</v>
      </c>
      <c r="AL19" s="172" t="str">
        <f t="shared" si="3"/>
        <v>3587</v>
      </c>
      <c r="AM19" s="172" t="str">
        <f t="shared" si="3"/>
        <v>4210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LABORATÓRIO DE CALIBRAÇÃO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IQ_LABCAL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HELLEN DE AGUIAR SOUZA MARQUES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4210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GEANDERSON DA SILVA REIS</v>
      </c>
      <c r="H12" s="161" t="str">
        <f>'Segunda a Sexta'!H12:H18</f>
        <v>MATHEUS TAVARES DIAS DA COSTA</v>
      </c>
      <c r="I12" s="161" t="str">
        <f>'Segunda a Sexta'!I12:I18</f>
        <v>SOLANGE COELHO RODRIGUES</v>
      </c>
      <c r="J12" s="161" t="str">
        <f>'Segunda a Sexta'!J12:J18</f>
        <v>VITOR HUGO DOS SANTOS MAIA</v>
      </c>
      <c r="K12" s="161" t="str">
        <f>'Segunda a Sexta'!K12:K18</f>
        <v>HELLEN DE AGUIAR SOUZA MARQUES</v>
      </c>
      <c r="L12" s="161" t="str">
        <f>'Segunda a Sexta'!L12:L18</f>
        <v> </v>
      </c>
      <c r="M12" s="174" t="str">
        <f>'Segunda a Sexta'!G12:G18</f>
        <v>GEANDERSON DA SILVA REIS</v>
      </c>
      <c r="N12" s="161"/>
      <c r="O12" s="187" t="str">
        <f>'Segunda a Sexta'!H12:H18</f>
        <v>MATHEUS TAVARES DIAS DA COSTA</v>
      </c>
      <c r="P12" s="187" t="str">
        <f>'Segunda a Sexta'!I12:I18</f>
        <v>SOLANGE COELHO RODRIGUES</v>
      </c>
      <c r="Q12" s="187" t="str">
        <f>'Segunda a Sexta'!J12:J18</f>
        <v>VITOR HUGO DOS SANTOS MAIA</v>
      </c>
      <c r="R12" s="187" t="str">
        <f>'Segunda a Sexta'!K12:K18</f>
        <v>HELLEN DE AGUIAR SOUZA MARQUES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2986</v>
      </c>
      <c r="H19" s="168" t="str">
        <f>'Segunda a Sexta'!H19:H20</f>
        <v>3377</v>
      </c>
      <c r="I19" s="168" t="str">
        <f>'Segunda a Sexta'!I19:I20</f>
        <v>3566</v>
      </c>
      <c r="J19" s="170" t="str">
        <f>'Segunda a Sexta'!J19:J20</f>
        <v>3587</v>
      </c>
      <c r="K19" s="172" t="str">
        <f>'Segunda a Sexta'!K19:K20</f>
        <v>4210</v>
      </c>
      <c r="L19" s="172" t="str">
        <f>'Segunda a Sexta'!L19:L20</f>
        <v> </v>
      </c>
      <c r="M19" s="191" t="str">
        <f>'Segunda a Sexta'!G19:G20</f>
        <v>2986</v>
      </c>
      <c r="N19" s="172"/>
      <c r="O19" s="257" t="str">
        <f>'Segunda a Sexta'!H19:H20</f>
        <v>3377</v>
      </c>
      <c r="P19" s="257" t="str">
        <f>'Segunda a Sexta'!I19:I20</f>
        <v>3566</v>
      </c>
      <c r="Q19" s="257" t="str">
        <f>'Segunda a Sexta'!J19:J20</f>
        <v>3587</v>
      </c>
      <c r="R19" s="257" t="str">
        <f>'Segunda a Sexta'!K19:K20</f>
        <v>4210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