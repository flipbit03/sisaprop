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<sst xmlns="http://schemas.openxmlformats.org/spreadsheetml/2006/main" count="83" uniqueCount="52">
  <si>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</si>
  <si>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</si>
  <si>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</si>
  <si>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</si>
  <si>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</si>
  <si>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</si>
  <si>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</si>
  <si>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</si>
  <si>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</si>
  <si>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</si>
  <si>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</si>
  <si>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</si>
  <si>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</si>
  <si>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</si>
  <si>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</si>
  <si>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</si>
  <si>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</si>
  <si>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</si>
  <si>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</si>
  <si>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</si>
  <si>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</si>
  <si>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</si>
  <si>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</si>
  <si>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</si>
  <si>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</si>
  <si>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</si>
  <si>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</si>
  <si>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</si>
  <si>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</si>
  <si>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</si>
  <si>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</si>
  <si>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</si>
  <si>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</si>
  <si>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</si>
  <si>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</si>
  <si>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DE L SOARES</t>
  </si>
  <si>
    <t>JOSE A F DE ALMEIDA</t>
  </si>
  <si>
    <t>MARCELO THIAGO ALVES DA SILVA</t>
  </si>
  <si>
    <t>RODRIGO SIMONACE</t>
  </si>
  <si>
    <t> </t>
  </si>
  <si>
    <t> </t>
  </si>
  <si>
    <t>2152</t>
  </si>
  <si>
    <t>2164</t>
  </si>
  <si>
    <t>2779</t>
  </si>
  <si>
    <t>3162</t>
  </si>
  <si>
    <t> </t>
  </si>
  <si>
    <t> </t>
  </si>
  <si>
    <t>SETOR IPM
UTILIDADES</t>
  </si>
  <si>
    <t>IPM_5_6</t>
  </si>
  <si>
    <t>MARCELO THIAGO ALVES DA SILVA</t>
  </si>
  <si>
    <t>Matr.: 2779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</si>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</sst>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ROBERTO DE L SOARES</v>
      </c>
      <c r="N12" s="161"/>
      <c r="O12" s="187" t="str">
        <f>H12</f>
        <v>JOSE A F DE ALMEIDA</v>
      </c>
      <c r="P12" s="161" t="str">
        <f>I12</f>
        <v>MARCELO THIAGO ALVES DA SILVA</v>
      </c>
      <c r="Q12" s="161" t="str">
        <f>J12</f>
        <v>RODRIGO SIMONACE</v>
      </c>
      <c r="R12" s="161" t="str">
        <f>K12</f>
        <v> </v>
      </c>
      <c r="S12" s="161" t="str">
        <f>L12</f>
        <v> </v>
      </c>
      <c r="T12" s="189"/>
      <c r="U12" s="174" t="str">
        <f>G12</f>
        <v>ROBERTO DE L SOARES</v>
      </c>
      <c r="V12" s="161"/>
      <c r="W12" s="161"/>
      <c r="X12" s="161" t="str">
        <f>H12</f>
        <v>JOSE A F DE ALMEIDA</v>
      </c>
      <c r="Y12" s="161" t="str">
        <f>I12</f>
        <v>MARCELO THIAGO ALVES DA SILVA</v>
      </c>
      <c r="Z12" s="161" t="str">
        <f>J12</f>
        <v>RODRIGO SIMONACE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ROBERTO DE L SOARES</v>
      </c>
      <c r="AD12" s="183" t="str">
        <f t="shared" si="0"/>
        <v>JOSE A F DE ALMEIDA</v>
      </c>
      <c r="AE12" s="161" t="str">
        <f t="shared" si="0"/>
        <v>MARCELO THIAGO ALVES DA SILVA</v>
      </c>
      <c r="AF12" s="161" t="str">
        <f t="shared" si="0"/>
        <v>RODRIGO SIMONACE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ROBERTO DE L SOARES</v>
      </c>
      <c r="AJ12" s="183" t="str">
        <f t="shared" si="1"/>
        <v>JOSE A F DE ALMEIDA</v>
      </c>
      <c r="AK12" s="161" t="str">
        <f t="shared" si="1"/>
        <v>MARCELO THIAGO ALVES DA SILVA</v>
      </c>
      <c r="AL12" s="161" t="str">
        <f t="shared" si="1"/>
        <v>RODRIGO SIMONACE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2152</v>
      </c>
      <c r="N19" s="172"/>
      <c r="O19" s="172" t="str">
        <f>H19</f>
        <v>2164</v>
      </c>
      <c r="P19" s="172" t="str">
        <f>I19</f>
        <v>2779</v>
      </c>
      <c r="Q19" s="172" t="str">
        <f>J19</f>
        <v>3162</v>
      </c>
      <c r="R19" s="172" t="str">
        <f>K19</f>
        <v> </v>
      </c>
      <c r="S19" s="172" t="str">
        <f>L19</f>
        <v> </v>
      </c>
      <c r="T19" s="209"/>
      <c r="U19" s="191" t="str">
        <f>G19</f>
        <v>2152</v>
      </c>
      <c r="V19" s="172"/>
      <c r="W19" s="172"/>
      <c r="X19" s="172" t="str">
        <f>H19</f>
        <v>2164</v>
      </c>
      <c r="Y19" s="172" t="str">
        <f>I19</f>
        <v>2779</v>
      </c>
      <c r="Z19" s="172" t="str">
        <f>J19</f>
        <v>3162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2152</v>
      </c>
      <c r="AD19" s="172" t="str">
        <f t="shared" si="2"/>
        <v>2164</v>
      </c>
      <c r="AE19" s="172" t="str">
        <f t="shared" si="2"/>
        <v>2779</v>
      </c>
      <c r="AF19" s="172" t="str">
        <f t="shared" si="2"/>
        <v>3162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2152</v>
      </c>
      <c r="AJ19" s="172" t="str">
        <f t="shared" si="3"/>
        <v>2164</v>
      </c>
      <c r="AK19" s="172" t="str">
        <f t="shared" si="3"/>
        <v>2779</v>
      </c>
      <c r="AL19" s="172" t="str">
        <f t="shared" si="3"/>
        <v>3162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IPM
UTILIDADES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IPM_5_6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THIAGO ALVES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2779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ROBERTO DE L SOARES</v>
      </c>
      <c r="H12" s="161" t="str">
        <f>'Segunda a Sexta'!H12:H18</f>
        <v>JOSE A F DE ALMEIDA</v>
      </c>
      <c r="I12" s="161" t="str">
        <f>'Segunda a Sexta'!I12:I18</f>
        <v>MARCELO THIAGO ALVES DA SILVA</v>
      </c>
      <c r="J12" s="161" t="str">
        <f>'Segunda a Sexta'!J12:J18</f>
        <v>RODRIGO SIMONACE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ROBERTO DE L SOARES</v>
      </c>
      <c r="N12" s="161"/>
      <c r="O12" s="187" t="str">
        <f>'Segunda a Sexta'!H12:H18</f>
        <v>JOSE A F DE ALMEIDA</v>
      </c>
      <c r="P12" s="187" t="str">
        <f>'Segunda a Sexta'!I12:I18</f>
        <v>MARCELO THIAGO ALVES DA SILVA</v>
      </c>
      <c r="Q12" s="187" t="str">
        <f>'Segunda a Sexta'!J12:J18</f>
        <v>RODRIGO SIMONACE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2152</v>
      </c>
      <c r="H19" s="168" t="str">
        <f>'Segunda a Sexta'!H19:H20</f>
        <v>2164</v>
      </c>
      <c r="I19" s="168" t="str">
        <f>'Segunda a Sexta'!I19:I20</f>
        <v>2779</v>
      </c>
      <c r="J19" s="170" t="str">
        <f>'Segunda a Sexta'!J19:J20</f>
        <v>3162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2152</v>
      </c>
      <c r="N19" s="172"/>
      <c r="O19" s="257" t="str">
        <f>'Segunda a Sexta'!H19:H20</f>
        <v>2164</v>
      </c>
      <c r="P19" s="257" t="str">
        <f>'Segunda a Sexta'!I19:I20</f>
        <v>2779</v>
      </c>
      <c r="Q19" s="257" t="str">
        <f>'Segunda a Sexta'!J19:J20</f>
        <v>3162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