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<sst xmlns="http://schemas.openxmlformats.org/spreadsheetml/2006/main" count="81" uniqueCount="51">
  <si>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</si>
  <si>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</si>
  <si>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</si>
  <si>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</si>
  <si>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</si>
  <si>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</si>
  <si>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</si>
  <si>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</si>
  <si>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</si>
  <si>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</si>
  <si>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</si>
  <si>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</si>
  <si>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</si>
  <si>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</si>
  <si>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</si>
  <si>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</si>
  <si>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</si>
  <si>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</si>
  <si>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</si>
  <si>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</si>
  <si>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</si>
  <si>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</si>
  <si>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</si>
  <si>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</si>
  <si>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</si>
  <si>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</si>
  <si>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</si>
  <si>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</si>
  <si>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</si>
  <si>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</si>
  <si>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</si>
  <si>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</si>
  <si>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</si>
  <si>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</si>
  <si>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</si>
  <si>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CARLOS HENRIQUE AMBROSIO</t>
  </si>
  <si>
    <t>VINICIUS DOS SANTOS ALMEIDA</t>
  </si>
  <si>
    <t>JEFFERSON LINS DOS SANTOS</t>
  </si>
  <si>
    <t>VINICIUS FONTES DE ALMEIDA</t>
  </si>
  <si>
    <t> </t>
  </si>
  <si>
    <t> </t>
  </si>
  <si>
    <t>233</t>
  </si>
  <si>
    <t>3513</t>
  </si>
  <si>
    <t>3616</t>
  </si>
  <si>
    <t>4191</t>
  </si>
  <si>
    <t> </t>
  </si>
  <si>
    <t> </t>
  </si>
  <si>
    <t>SETOR IS-CPS
ENG. DO PRODUTO</t>
  </si>
  <si>
    <t>IS-CPS_ENGP</t>
  </si>
  <si>
    <t>LEONARDO MOURA DOS REIS</t>
  </si>
  <si>
    <t>Matr.: 3337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</si>
</sst>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CARLOS HENRIQUE AMBROSIO</v>
      </c>
      <c r="M12" s="178"/>
      <c r="N12" s="176" t="str">
        <f>G12</f>
        <v>VINICIUS DOS SANTOS ALMEIDA</v>
      </c>
      <c r="O12" s="178" t="str">
        <f>H12</f>
        <v>JEFFERSON LINS DOS SANTOS</v>
      </c>
      <c r="P12" s="178" t="str">
        <f>I12</f>
        <v>VINICIUS FONTES DE ALMEIDA</v>
      </c>
      <c r="Q12" s="178" t="str">
        <f>J12</f>
        <v> </v>
      </c>
      <c r="R12" s="178" t="str">
        <f>K12</f>
        <v> </v>
      </c>
      <c r="S12" s="180"/>
      <c r="T12" s="182" t="str">
        <f>F12</f>
        <v>CARLOS HENRIQUE AMBROSIO</v>
      </c>
      <c r="U12" s="178"/>
      <c r="V12" s="178"/>
      <c r="W12" s="178" t="str">
        <f>G12</f>
        <v>VINICIUS DOS SANTOS ALMEIDA</v>
      </c>
      <c r="X12" s="178" t="str">
        <f>H12</f>
        <v>JEFFERSON LINS DOS SANTOS</v>
      </c>
      <c r="Y12" s="178" t="str">
        <f>I12</f>
        <v>VINICIUS FONTES DE ALMEIDA</v>
      </c>
      <c r="Z12" s="178" t="str">
        <f>J12</f>
        <v> </v>
      </c>
      <c r="AA12" s="178" t="str">
        <f>K12</f>
        <v> </v>
      </c>
      <c r="AB12" s="192" t="str">
        <f t="shared" ref="AB12:AG12" si="0">F12</f>
        <v>CARLOS HENRIQUE AMBROSIO</v>
      </c>
      <c r="AC12" s="194" t="str">
        <f t="shared" si="0"/>
        <v>VINICIUS DOS SANTOS ALMEIDA</v>
      </c>
      <c r="AD12" s="178" t="str">
        <f t="shared" si="0"/>
        <v>JEFFERSON LINS DOS SANTOS</v>
      </c>
      <c r="AE12" s="178" t="str">
        <f t="shared" si="0"/>
        <v>VINICIUS FONTES DE ALMEIDA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CARLOS HENRIQUE AMBROSIO</v>
      </c>
      <c r="AI12" s="194" t="str">
        <f t="shared" si="1"/>
        <v>VINICIUS DOS SANTOS ALMEIDA</v>
      </c>
      <c r="AJ12" s="178" t="str">
        <f t="shared" si="1"/>
        <v>JEFFERSON LINS DOS SANTOS</v>
      </c>
      <c r="AK12" s="178" t="str">
        <f t="shared" si="1"/>
        <v>VINICIUS FONTES DE ALMEIDA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233</v>
      </c>
      <c r="M19" s="163"/>
      <c r="N19" s="163" t="str">
        <f>G19</f>
        <v>3513</v>
      </c>
      <c r="O19" s="163" t="str">
        <f>H19</f>
        <v>3616</v>
      </c>
      <c r="P19" s="163" t="str">
        <f>I19</f>
        <v>4191</v>
      </c>
      <c r="Q19" s="163" t="str">
        <f>J19</f>
        <v> </v>
      </c>
      <c r="R19" s="163" t="str">
        <f>K19</f>
        <v> </v>
      </c>
      <c r="S19" s="172"/>
      <c r="T19" s="174" t="str">
        <f>F19</f>
        <v>233</v>
      </c>
      <c r="U19" s="163"/>
      <c r="V19" s="163"/>
      <c r="W19" s="163" t="str">
        <f>G19</f>
        <v>3513</v>
      </c>
      <c r="X19" s="163" t="str">
        <f>H19</f>
        <v>3616</v>
      </c>
      <c r="Y19" s="163" t="str">
        <f>I19</f>
        <v>4191</v>
      </c>
      <c r="Z19" s="163" t="str">
        <f>J19</f>
        <v> </v>
      </c>
      <c r="AA19" s="163" t="str">
        <f>K19</f>
        <v> </v>
      </c>
      <c r="AB19" s="170" t="str">
        <f t="shared" ref="AB19:AG19" si="2">F19</f>
        <v>233</v>
      </c>
      <c r="AC19" s="163" t="str">
        <f t="shared" si="2"/>
        <v>3513</v>
      </c>
      <c r="AD19" s="163" t="str">
        <f t="shared" si="2"/>
        <v>3616</v>
      </c>
      <c r="AE19" s="163" t="str">
        <f t="shared" si="2"/>
        <v>4191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233</v>
      </c>
      <c r="AI19" s="163" t="str">
        <f t="shared" si="3"/>
        <v>3513</v>
      </c>
      <c r="AJ19" s="163" t="str">
        <f t="shared" si="3"/>
        <v>3616</v>
      </c>
      <c r="AK19" s="163" t="str">
        <f t="shared" si="3"/>
        <v>4191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IS-CPS
ENG. DO PRODUTO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IS-CPS_ENGP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LEONARDO MOURA DOS REIS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3337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CARLOS HENRIQUE AMBROSIO</v>
      </c>
      <c r="G12" s="178" t="str">
        <f>'Segunda a Sexta'!G12:G18</f>
        <v>VINICIUS DOS SANTOS ALMEIDA</v>
      </c>
      <c r="H12" s="178" t="str">
        <f>'Segunda a Sexta'!H12:H18</f>
        <v>JEFFERSON LINS DOS SANTOS</v>
      </c>
      <c r="I12" s="178" t="str">
        <f>'Segunda a Sexta'!I12:I18</f>
        <v>VINICIUS FONTES DE ALMEIDA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CARLOS HENRIQUE AMBROSIO</v>
      </c>
      <c r="M12" s="178"/>
      <c r="N12" s="176" t="str">
        <f>'Segunda a Sexta'!G12:G18</f>
        <v>VINICIUS DOS SANTOS ALMEIDA</v>
      </c>
      <c r="O12" s="176" t="str">
        <f>'Segunda a Sexta'!H12:H18</f>
        <v>JEFFERSON LINS DOS SANTOS</v>
      </c>
      <c r="P12" s="176" t="str">
        <f>'Segunda a Sexta'!I12:I18</f>
        <v>VINICIUS FONTES DE ALMEIDA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233</v>
      </c>
      <c r="G19" s="220" t="str">
        <f>'Segunda a Sexta'!G19:G20</f>
        <v>3513</v>
      </c>
      <c r="H19" s="220" t="str">
        <f>'Segunda a Sexta'!H19:H20</f>
        <v>3616</v>
      </c>
      <c r="I19" s="222" t="str">
        <f>'Segunda a Sexta'!I19:I20</f>
        <v>4191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233</v>
      </c>
      <c r="M19" s="163"/>
      <c r="N19" s="269" t="str">
        <f>'Segunda a Sexta'!G19:G20</f>
        <v>3513</v>
      </c>
      <c r="O19" s="269" t="str">
        <f>'Segunda a Sexta'!H19:H20</f>
        <v>3616</v>
      </c>
      <c r="P19" s="269" t="str">
        <f>'Segunda a Sexta'!I19:I20</f>
        <v>4191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