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<sst xmlns="http://schemas.openxmlformats.org/spreadsheetml/2006/main" count="83" uniqueCount="52">
  <si>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</si>
  <si>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</si>
  <si>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</si>
  <si>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</si>
  <si>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</si>
  <si>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</si>
  <si>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</si>
  <si>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</si>
  <si>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</si>
  <si>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</si>
  <si>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</si>
  <si>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</si>
  <si>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</si>
  <si>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</si>
  <si>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</si>
  <si>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</si>
  <si>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</si>
  <si>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</si>
  <si>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</si>
  <si>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</si>
  <si>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</si>
  <si>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</si>
  <si>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</si>
  <si>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</si>
  <si>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</si>
  <si>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</si>
  <si>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</si>
  <si>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</si>
  <si>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</si>
  <si>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</si>
  <si>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</si>
  <si>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</si>
  <si>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</si>
  <si>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</si>
  <si>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</si>
  <si>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FERNANDO LUIZ RIBEIRO PORTES</t>
  </si>
  <si>
    <t>MAGNO ALEXANDRE JESUS</t>
  </si>
  <si>
    <t> </t>
  </si>
  <si>
    <t> </t>
  </si>
  <si>
    <t> </t>
  </si>
  <si>
    <t> </t>
  </si>
  <si>
    <t>1225</t>
  </si>
  <si>
    <t>1240</t>
  </si>
  <si>
    <t> </t>
  </si>
  <si>
    <t> </t>
  </si>
  <si>
    <t> </t>
  </si>
  <si>
    <t> </t>
  </si>
  <si>
    <t>SETOR  IQ ENSAIOS MECÂNICOS E METALOGRÁFICOS</t>
  </si>
  <si>
    <t>IQ_EMM</t>
  </si>
  <si>
    <t>FERNANDO LUIZ RIBEIRO PORTES</t>
  </si>
  <si>
    <t>Matr.: 1225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</si>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</sst>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FERNANDO LUIZ RIBEIRO PORTES</v>
      </c>
      <c r="N12" s="161"/>
      <c r="O12" s="187" t="str">
        <f>H12</f>
        <v>MAGNO ALEXANDRE JESUS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FERNANDO LUIZ RIBEIRO PORTES</v>
      </c>
      <c r="V12" s="161"/>
      <c r="W12" s="161"/>
      <c r="X12" s="161" t="str">
        <f>H12</f>
        <v>MAGNO ALEXANDRE JESUS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FERNANDO LUIZ RIBEIRO PORTES</v>
      </c>
      <c r="AD12" s="183" t="str">
        <f t="shared" si="0"/>
        <v>MAGNO ALEXANDRE JESUS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FERNANDO LUIZ RIBEIRO PORTES</v>
      </c>
      <c r="AJ12" s="183" t="str">
        <f t="shared" si="1"/>
        <v>MAGNO ALEXANDRE JESUS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1225</v>
      </c>
      <c r="N19" s="172"/>
      <c r="O19" s="172" t="str">
        <f>H19</f>
        <v>1240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1225</v>
      </c>
      <c r="V19" s="172"/>
      <c r="W19" s="172"/>
      <c r="X19" s="172" t="str">
        <f>H19</f>
        <v>1240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1225</v>
      </c>
      <c r="AD19" s="172" t="str">
        <f t="shared" si="2"/>
        <v>1240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1225</v>
      </c>
      <c r="AJ19" s="172" t="str">
        <f t="shared" si="3"/>
        <v>1240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 IQ ENSAIOS MECÂNICOS E METALOGRÁFICOS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IQ_EMM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FERNANDO LUIZ RIBEIRO PORTES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1225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FERNANDO LUIZ RIBEIRO PORTES</v>
      </c>
      <c r="H12" s="161" t="str">
        <f>'Segunda a Sexta'!H12:H18</f>
        <v>MAGNO ALEXANDRE JESUS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FERNANDO LUIZ RIBEIRO PORTES</v>
      </c>
      <c r="N12" s="161"/>
      <c r="O12" s="187" t="str">
        <f>'Segunda a Sexta'!H12:H18</f>
        <v>MAGNO ALEXANDRE JESUS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1225</v>
      </c>
      <c r="H19" s="168" t="str">
        <f>'Segunda a Sexta'!H19:H20</f>
        <v>1240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1225</v>
      </c>
      <c r="N19" s="172"/>
      <c r="O19" s="257" t="str">
        <f>'Segunda a Sexta'!H19:H20</f>
        <v>1240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